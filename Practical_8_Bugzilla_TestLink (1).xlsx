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&amp;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<sst xmlns="http://schemas.openxmlformats.org/spreadsheetml/2006/main" count="60" uniqueCount="46">
  <si>
    <t xml:space="preserve">TUTORIAL 8 – OpenCart – Login Module</t>
  </si>
  <si>
    <t xml:space="preserve">Executed on https://demo.opencart.com/TlbeVW/ (administration login) | Test date 15/08/2026 | Windows / Google Chrome | Evidence = screenshot file numbers from the supplied zip</t>
  </si>
  <si>
    <t xml:space="preserve">TC ID</t>
  </si>
  <si>
    <t xml:space="preserve">Scenario</t>
  </si>
  <si>
    <t xml:space="preserve">Test Input</t>
  </si>
  <si>
    <t xml:space="preserve">Expected Result</t>
  </si>
  <si>
    <t xml:space="preserve">Actual Result</t>
  </si>
  <si>
    <t xml:space="preserve">Status</t>
  </si>
  <si>
    <t xml:space="preserve">Evidence (Screenshot No.)</t>
  </si>
  <si>
    <t xml:space="preserve">TC001</t>
  </si>
  <si>
    <t xml:space="preserve">Valid Login</t>
  </si>
  <si>
    <t xml:space="preserve">Username demo + correct password (administration login)</t>
  </si>
  <si>
    <t xml:space="preserve">Login successful; Dashboard opens</t>
  </si>
  <si>
    <t xml:space="preserve">Login successful; Administration Dashboard opened</t>
  </si>
  <si>
    <t xml:space="preserve">Pass</t>
  </si>
  <si>
    <t xml:space="preserve">131, 132</t>
  </si>
  <si>
    <t xml:space="preserve">TC002</t>
  </si>
  <si>
    <t xml:space="preserve">Invalid Password</t>
  </si>
  <si>
    <t xml:space="preserve">Registered username + wrong password</t>
  </si>
  <si>
    <t xml:space="preserve">Error message shown; user not logged in</t>
  </si>
  <si>
    <t xml:space="preserve">No execution evidence supplied</t>
  </si>
  <si>
    <t xml:space="preserve">Not Executed</t>
  </si>
  <si>
    <t xml:space="preserve">—</t>
  </si>
  <si>
    <t xml:space="preserve">TC003</t>
  </si>
  <si>
    <t xml:space="preserve">Blank Username</t>
  </si>
  <si>
    <t xml:space="preserve">Username empty + any password</t>
  </si>
  <si>
    <t xml:space="preserve">Validation/error message shown</t>
  </si>
  <si>
    <t xml:space="preserve">TC004</t>
  </si>
  <si>
    <t xml:space="preserve">Blank Password</t>
  </si>
  <si>
    <t xml:space="preserve">Valid username + empty password</t>
  </si>
  <si>
    <t xml:space="preserve">TC005</t>
  </si>
  <si>
    <t xml:space="preserve">Unregistered User</t>
  </si>
  <si>
    <t xml:space="preserve">Non-existing username + any password</t>
  </si>
  <si>
    <t xml:space="preserve">TC006</t>
  </si>
  <si>
    <t xml:space="preserve">Forgotten Password Link</t>
  </si>
  <si>
    <t xml:space="preserve">Click 'Forgotten Password' link</t>
  </si>
  <si>
    <t xml:space="preserve">Password reset page opens</t>
  </si>
  <si>
    <t xml:space="preserve">Link is visible on the storefront login page; click not captured</t>
  </si>
  <si>
    <t xml:space="preserve">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</si>
  <si>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</si>
  <si>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</si>
  <si>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</si>
  <si>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</si>
  <si>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Executed (Pass + Fail)</t>
  </si>
  <si>
    <t xml:space="preserve">Pass % of executed</t>
  </si>
  <si>
    <t xml:space="preserve">Pass % of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</si>
</sst>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20</v>
      </c>
      <c r="F7" s="4" t="s">
        <v>21</v>
      </c>
      <c r="G7" s="4" t="s">
        <v>22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29</v>
      </c>
      <c r="D8" s="4" t="s">
        <v>26</v>
      </c>
      <c r="E8" s="4" t="s">
        <v>20</v>
      </c>
      <c r="F8" s="4" t="s">
        <v>21</v>
      </c>
      <c r="G8" s="4" t="s">
        <v>22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4" t="s">
        <v>19</v>
      </c>
      <c r="E9" s="4" t="s">
        <v>20</v>
      </c>
      <c r="F9" s="4" t="s">
        <v>21</v>
      </c>
      <c r="G9" s="4" t="s">
        <v>22</v>
      </c>
    </row>
    <row r="10" customFormat="false" ht="23.85" hidden="false" customHeight="false" outlineLevel="0" collapsed="false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21</v>
      </c>
      <c r="G10" s="4" t="s">
        <v>22</v>
      </c>
    </row>
    <row r="12" customFormat="false" ht="15" hidden="false" customHeight="false" outlineLevel="0" collapsed="false">
      <c r="A12" s="5" t="s">
        <v>38</v>
      </c>
    </row>
    <row r="13" customFormat="false" ht="15" hidden="false" customHeight="false" outlineLevel="0" collapsed="false">
      <c r="A13" s="6" t="s">
        <v>39</v>
      </c>
      <c r="B13" s="7" t="n">
        <f aca="false">COUNTA(A5:A10)</f>
        <v>6</v>
      </c>
    </row>
    <row r="14" customFormat="false" ht="15" hidden="false" customHeight="false" outlineLevel="0" collapsed="false">
      <c r="A14" s="6" t="s">
        <v>40</v>
      </c>
      <c r="B14" s="7" t="n">
        <f aca="false">COUNTIF(F5:F10,"Pass")</f>
        <v>1</v>
      </c>
    </row>
    <row r="15" customFormat="false" ht="15" hidden="false" customHeight="false" outlineLevel="0" collapsed="false">
      <c r="A15" s="6" t="s">
        <v>41</v>
      </c>
      <c r="B15" s="7" t="n">
        <f aca="false">COUNTIF(F5:F10,"Fail")</f>
        <v>0</v>
      </c>
    </row>
    <row r="16" customFormat="false" ht="15" hidden="false" customHeight="false" outlineLevel="0" collapsed="false">
      <c r="A16" s="6" t="s">
        <v>42</v>
      </c>
      <c r="B16" s="7" t="n">
        <f aca="false">COUNTIF(F5:F10,"Blocked")</f>
        <v>0</v>
      </c>
    </row>
    <row r="17" customFormat="false" ht="15" hidden="false" customHeight="false" outlineLevel="0" collapsed="false">
      <c r="A17" s="6" t="s">
        <v>21</v>
      </c>
      <c r="B17" s="7" t="n">
        <f aca="false">COUNTIF(F5:F10,"Not Executed")</f>
        <v>5</v>
      </c>
    </row>
    <row r="18" customFormat="false" ht="15" hidden="false" customHeight="false" outlineLevel="0" collapsed="false">
      <c r="A18" s="6" t="s">
        <v>43</v>
      </c>
      <c r="B18" s="7" t="n">
        <f aca="false">B14+B15</f>
        <v>1</v>
      </c>
    </row>
    <row r="19" customFormat="false" ht="15" hidden="false" customHeight="false" outlineLevel="0" collapsed="false">
      <c r="A19" s="6" t="s">
        <v>44</v>
      </c>
      <c r="B19" s="8" t="n">
        <f aca="false">IF(B18=0,0,B14/B18)</f>
        <v>1</v>
      </c>
    </row>
    <row r="20" customFormat="false" ht="15" hidden="false" customHeight="false" outlineLevel="0" collapsed="false">
      <c r="A20" s="6" t="s">
        <v>45</v>
      </c>
      <c r="B20" s="8" t="n">
        <f aca="false">IF(B13=0,0,B14/B13)</f>
        <v>0.166666666666667</v>
      </c>
    </row>
  </sheetData>
  <conditionalFormatting sqref="F5:F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2026-10-29T18:11:06Z</dcterms:created>
  <dc:creator>openpyxl</dc:creator>
  <dc:description/>
  <dc:language>en-US</dc:language>
  <cp:lastModifiedBy/>
  <dcterms:modified xsi:type="dcterms:W3CDTF">2026-10-29T18:11:06Z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