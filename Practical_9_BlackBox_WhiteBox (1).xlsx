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 &amp; Summa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<sst xmlns="http://schemas.openxmlformats.org/spreadsheetml/2006/main" count="117" uniqueCount="81">
  <si>
    <t xml:space="preserve">TUTORIAL 9 – OpenCart – Login Module (Black-Box, White-Box, Integration, System)</t>
  </si>
  <si>
    <t xml:space="preserve">Executed on https://demo.opencart.com | Test date 15/08/2026 | Windows / Google Chrome | Evidence = screenshot file numbers from the supplied zip</t>
  </si>
  <si>
    <t xml:space="preserve">TC ID</t>
  </si>
  <si>
    <t xml:space="preserve">Technique</t>
  </si>
  <si>
    <t xml:space="preserve">Scenario</t>
  </si>
  <si>
    <t xml:space="preserve">Test Input</t>
  </si>
  <si>
    <t xml:space="preserve">Expected Result</t>
  </si>
  <si>
    <t xml:space="preserve">Actual Result</t>
  </si>
  <si>
    <t xml:space="preserve">Status</t>
  </si>
  <si>
    <t xml:space="preserve">Evidence (Screenshot No.)</t>
  </si>
  <si>
    <t xml:space="preserve">TC001</t>
  </si>
  <si>
    <t xml:space="preserve">Black-Box</t>
  </si>
  <si>
    <t xml:space="preserve">Valid login</t>
  </si>
  <si>
    <t xml:space="preserve">Username demo + correct password</t>
  </si>
  <si>
    <t xml:space="preserve">Login succeeds; Dashboard opens</t>
  </si>
  <si>
    <t xml:space="preserve">Login successful; Dashboard opened</t>
  </si>
  <si>
    <t xml:space="preserve">Pass</t>
  </si>
  <si>
    <t xml:space="preserve">131, 132</t>
  </si>
  <si>
    <t xml:space="preserve">TC002</t>
  </si>
  <si>
    <t xml:space="preserve">Invalid password</t>
  </si>
  <si>
    <t xml:space="preserve">Valid username + wrong password</t>
  </si>
  <si>
    <t xml:space="preserve">Error message shown</t>
  </si>
  <si>
    <t xml:space="preserve">No execution evidence supplied</t>
  </si>
  <si>
    <t xml:space="preserve">Not Executed</t>
  </si>
  <si>
    <t xml:space="preserve">—</t>
  </si>
  <si>
    <t xml:space="preserve">TC003</t>
  </si>
  <si>
    <t xml:space="preserve">Invalid username</t>
  </si>
  <si>
    <t xml:space="preserve">Unregistered username + any password</t>
  </si>
  <si>
    <t xml:space="preserve">TC004</t>
  </si>
  <si>
    <t xml:space="preserve">Blank username &amp; password</t>
  </si>
  <si>
    <t xml:space="preserve">Both fields empty</t>
  </si>
  <si>
    <t xml:space="preserve">Validation message shown</t>
  </si>
  <si>
    <t xml:space="preserve">TC005</t>
  </si>
  <si>
    <t xml:space="preserve">White-Box</t>
  </si>
  <si>
    <t xml:space="preserve">if-branch (Python reference module)</t>
  </si>
  <si>
    <t xml:space="preserve">admin / admin123</t>
  </si>
  <si>
    <t xml:space="preserve">Login Successful | Dashboard Opened</t>
  </si>
  <si>
    <t xml:space="preserve">TC006</t>
  </si>
  <si>
    <t xml:space="preserve">else-branch: wrong password</t>
  </si>
  <si>
    <t xml:space="preserve">admin / 12345</t>
  </si>
  <si>
    <t xml:space="preserve">Invalid Username or Password</t>
  </si>
  <si>
    <t xml:space="preserve">TC007</t>
  </si>
  <si>
    <t xml:space="preserve">else-branch: wrong username</t>
  </si>
  <si>
    <t xml:space="preserve">student / admin123</t>
  </si>
  <si>
    <t xml:space="preserve">TC008</t>
  </si>
  <si>
    <t xml:space="preserve">Integration</t>
  </si>
  <si>
    <t xml:space="preserve">Login -&gt; Dashboard</t>
  </si>
  <si>
    <t xml:space="preserve">Valid account</t>
  </si>
  <si>
    <t xml:space="preserve">Dashboard opens after login</t>
  </si>
  <si>
    <t xml:space="preserve">Dashboard opened after login</t>
  </si>
  <si>
    <t xml:space="preserve">132, 133</t>
  </si>
  <si>
    <t xml:space="preserve">TC009</t>
  </si>
  <si>
    <t xml:space="preserve">Dashboard -&gt; Logout</t>
  </si>
  <si>
    <t xml:space="preserve">Click Logout</t>
  </si>
  <si>
    <t xml:space="preserve">Session ends; Login page shown</t>
  </si>
  <si>
    <t xml:space="preserve">Session ended; administration Login page shown</t>
  </si>
  <si>
    <t xml:space="preserve">149, 151</t>
  </si>
  <si>
    <t xml:space="preserve">TC010</t>
  </si>
  <si>
    <t xml:space="preserve">System</t>
  </si>
  <si>
    <t xml:space="preserve">Navigate site pages</t>
  </si>
  <si>
    <t xml:space="preserve">opencart.com home; demo store: My Account -&gt; Login, Register; footer -&gt; Contact Us</t>
  </si>
  <si>
    <t xml:space="preserve">Each page loads without error</t>
  </si>
  <si>
    <t xml:space="preserve">All pages opened without error</t>
  </si>
  <si>
    <t xml:space="preserve">134, 139, 140, 141, 148</t>
  </si>
  <si>
    <t xml:space="preserve">TC011</t>
  </si>
  <si>
    <t xml:space="preserve">End-to-end shopping journey</t>
  </si>
  <si>
    <t xml:space="preserve">Home -&gt; search 'Macbook' -&gt; MacBook Air -&gt; Add to Cart -&gt; mini cart</t>
  </si>
  <si>
    <t xml:space="preserve">Complete flow works</t>
  </si>
  <si>
    <t xml:space="preserve">Flow completed; cart shows MacBook Air x1, $1,202.00</t>
  </si>
  <si>
    <t xml:space="preserve">135, 136, 143, 144, 145</t>
  </si>
  <si>
    <t xml:space="preserve">SUMMARY</t>
  </si>
  <si>
    <t xml:space="preserve">Total test cases</t>
  </si>
  <si>
    <t xml:space="preserve">Passed</t>
  </si>
  <si>
    <t xml:space="preserve">Failed</t>
  </si>
  <si>
    <t xml:space="preserve">Blocked</t>
  </si>
  <si>
    <t xml:space="preserve">Executed (Pass + Fail)</t>
  </si>
  <si>
    <t xml:space="preserve">Pass % of executed</t>
  </si>
  <si>
    <t xml:space="preserve">Pass % of total</t>
  </si>
  <si>
    <t xml:space="preserve">SUMMARY BY TECHNIQUE</t>
  </si>
  <si>
    <t xml:space="preserve">Total</t>
  </si>
  <si>
    <t xml:space="preserve">Fail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</si>
</sst>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EDEDE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3"/>
    <col collapsed="false" customWidth="true" hidden="false" outlineLevel="0" max="3" min="3" style="0" width="34"/>
    <col collapsed="false" customWidth="true" hidden="false" outlineLevel="0" max="4" min="4" style="0" width="38"/>
    <col collapsed="false" customWidth="true" hidden="false" outlineLevel="0" max="5" min="5" style="0" width="34"/>
    <col collapsed="false" customWidth="true" hidden="false" outlineLevel="0" max="6" min="6" style="0" width="46"/>
    <col collapsed="false" customWidth="true" hidden="false" outlineLevel="0" max="7" min="7" style="0" width="14"/>
    <col collapsed="false" customWidth="true" hidden="false" outlineLevel="0" max="8" min="8" style="0" width="2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4" t="s">
        <v>17</v>
      </c>
    </row>
    <row r="6" customFormat="false" ht="15" hidden="false" customHeight="false" outlineLevel="0" collapsed="false">
      <c r="A6" s="4" t="s">
        <v>18</v>
      </c>
      <c r="B6" s="4" t="s">
        <v>11</v>
      </c>
      <c r="C6" s="4" t="s">
        <v>19</v>
      </c>
      <c r="D6" s="4" t="s">
        <v>20</v>
      </c>
      <c r="E6" s="4" t="s">
        <v>21</v>
      </c>
      <c r="F6" s="4" t="s">
        <v>22</v>
      </c>
      <c r="G6" s="4" t="s">
        <v>23</v>
      </c>
      <c r="H6" s="4" t="s">
        <v>24</v>
      </c>
    </row>
    <row r="7" customFormat="false" ht="15" hidden="false" customHeight="false" outlineLevel="0" collapsed="false">
      <c r="A7" s="4" t="s">
        <v>25</v>
      </c>
      <c r="B7" s="4" t="s">
        <v>11</v>
      </c>
      <c r="C7" s="4" t="s">
        <v>26</v>
      </c>
      <c r="D7" s="4" t="s">
        <v>27</v>
      </c>
      <c r="E7" s="4" t="s">
        <v>21</v>
      </c>
      <c r="F7" s="4" t="s">
        <v>22</v>
      </c>
      <c r="G7" s="4" t="s">
        <v>23</v>
      </c>
      <c r="H7" s="4" t="s">
        <v>24</v>
      </c>
    </row>
    <row r="8" customFormat="false" ht="15" hidden="false" customHeight="false" outlineLevel="0" collapsed="false">
      <c r="A8" s="4" t="s">
        <v>28</v>
      </c>
      <c r="B8" s="4" t="s">
        <v>11</v>
      </c>
      <c r="C8" s="4" t="s">
        <v>29</v>
      </c>
      <c r="D8" s="4" t="s">
        <v>30</v>
      </c>
      <c r="E8" s="4" t="s">
        <v>31</v>
      </c>
      <c r="F8" s="4" t="s">
        <v>22</v>
      </c>
      <c r="G8" s="4" t="s">
        <v>23</v>
      </c>
      <c r="H8" s="4" t="s">
        <v>24</v>
      </c>
    </row>
    <row r="9" customFormat="false" ht="15" hidden="false" customHeight="false" outlineLevel="0" collapsed="false">
      <c r="A9" s="4" t="s">
        <v>32</v>
      </c>
      <c r="B9" s="4" t="s">
        <v>33</v>
      </c>
      <c r="C9" s="4" t="s">
        <v>34</v>
      </c>
      <c r="D9" s="4" t="s">
        <v>35</v>
      </c>
      <c r="E9" s="4" t="s">
        <v>36</v>
      </c>
      <c r="F9" s="4" t="s">
        <v>36</v>
      </c>
      <c r="G9" s="4" t="s">
        <v>16</v>
      </c>
      <c r="H9" s="4" t="s">
        <v>24</v>
      </c>
    </row>
    <row r="10" customFormat="false" ht="15" hidden="false" customHeight="false" outlineLevel="0" collapsed="false">
      <c r="A10" s="4" t="s">
        <v>37</v>
      </c>
      <c r="B10" s="4" t="s">
        <v>33</v>
      </c>
      <c r="C10" s="4" t="s">
        <v>38</v>
      </c>
      <c r="D10" s="4" t="s">
        <v>39</v>
      </c>
      <c r="E10" s="4" t="s">
        <v>40</v>
      </c>
      <c r="F10" s="4" t="s">
        <v>40</v>
      </c>
      <c r="G10" s="4" t="s">
        <v>16</v>
      </c>
      <c r="H10" s="4" t="s">
        <v>24</v>
      </c>
    </row>
    <row r="11" customFormat="false" ht="15" hidden="false" customHeight="false" outlineLevel="0" collapsed="false">
      <c r="A11" s="4" t="s">
        <v>41</v>
      </c>
      <c r="B11" s="4" t="s">
        <v>33</v>
      </c>
      <c r="C11" s="4" t="s">
        <v>42</v>
      </c>
      <c r="D11" s="4" t="s">
        <v>43</v>
      </c>
      <c r="E11" s="4" t="s">
        <v>40</v>
      </c>
      <c r="F11" s="4" t="s">
        <v>40</v>
      </c>
      <c r="G11" s="4" t="s">
        <v>16</v>
      </c>
      <c r="H11" s="4" t="s">
        <v>24</v>
      </c>
    </row>
    <row r="12" customFormat="false" ht="15" hidden="false" customHeight="false" outlineLevel="0" collapsed="false">
      <c r="A12" s="4" t="s">
        <v>44</v>
      </c>
      <c r="B12" s="4" t="s">
        <v>45</v>
      </c>
      <c r="C12" s="4" t="s">
        <v>46</v>
      </c>
      <c r="D12" s="4" t="s">
        <v>47</v>
      </c>
      <c r="E12" s="4" t="s">
        <v>48</v>
      </c>
      <c r="F12" s="4" t="s">
        <v>49</v>
      </c>
      <c r="G12" s="4" t="s">
        <v>16</v>
      </c>
      <c r="H12" s="4" t="s">
        <v>50</v>
      </c>
    </row>
    <row r="13" customFormat="false" ht="15" hidden="false" customHeight="false" outlineLevel="0" collapsed="false">
      <c r="A13" s="4" t="s">
        <v>51</v>
      </c>
      <c r="B13" s="4" t="s">
        <v>45</v>
      </c>
      <c r="C13" s="4" t="s">
        <v>52</v>
      </c>
      <c r="D13" s="4" t="s">
        <v>53</v>
      </c>
      <c r="E13" s="4" t="s">
        <v>54</v>
      </c>
      <c r="F13" s="4" t="s">
        <v>55</v>
      </c>
      <c r="G13" s="4" t="s">
        <v>16</v>
      </c>
      <c r="H13" s="4" t="s">
        <v>56</v>
      </c>
    </row>
    <row r="14" customFormat="false" ht="23.85" hidden="false" customHeight="false" outlineLevel="0" collapsed="false">
      <c r="A14" s="4" t="s">
        <v>57</v>
      </c>
      <c r="B14" s="4" t="s">
        <v>58</v>
      </c>
      <c r="C14" s="4" t="s">
        <v>59</v>
      </c>
      <c r="D14" s="4" t="s">
        <v>60</v>
      </c>
      <c r="E14" s="4" t="s">
        <v>61</v>
      </c>
      <c r="F14" s="4" t="s">
        <v>62</v>
      </c>
      <c r="G14" s="4" t="s">
        <v>16</v>
      </c>
      <c r="H14" s="4" t="s">
        <v>63</v>
      </c>
    </row>
    <row r="15" customFormat="false" ht="23.85" hidden="false" customHeight="false" outlineLevel="0" collapsed="false">
      <c r="A15" s="4" t="s">
        <v>64</v>
      </c>
      <c r="B15" s="4" t="s">
        <v>58</v>
      </c>
      <c r="C15" s="4" t="s">
        <v>65</v>
      </c>
      <c r="D15" s="4" t="s">
        <v>66</v>
      </c>
      <c r="E15" s="4" t="s">
        <v>67</v>
      </c>
      <c r="F15" s="4" t="s">
        <v>68</v>
      </c>
      <c r="G15" s="4" t="s">
        <v>16</v>
      </c>
      <c r="H15" s="4" t="s">
        <v>69</v>
      </c>
    </row>
    <row r="17" customFormat="false" ht="15" hidden="false" customHeight="false" outlineLevel="0" collapsed="false">
      <c r="A17" s="5" t="s">
        <v>70</v>
      </c>
    </row>
    <row r="18" customFormat="false" ht="15" hidden="false" customHeight="false" outlineLevel="0" collapsed="false">
      <c r="A18" s="6" t="s">
        <v>71</v>
      </c>
      <c r="B18" s="7" t="n">
        <f aca="false">COUNTA(A5:A15)</f>
        <v>11</v>
      </c>
    </row>
    <row r="19" customFormat="false" ht="15" hidden="false" customHeight="false" outlineLevel="0" collapsed="false">
      <c r="A19" s="6" t="s">
        <v>72</v>
      </c>
      <c r="B19" s="7" t="n">
        <f aca="false">COUNTIF(G5:G15,"Pass")</f>
        <v>8</v>
      </c>
    </row>
    <row r="20" customFormat="false" ht="15" hidden="false" customHeight="false" outlineLevel="0" collapsed="false">
      <c r="A20" s="6" t="s">
        <v>73</v>
      </c>
      <c r="B20" s="7" t="n">
        <f aca="false">COUNTIF(G5:G15,"Fail")</f>
        <v>0</v>
      </c>
    </row>
    <row r="21" customFormat="false" ht="15" hidden="false" customHeight="false" outlineLevel="0" collapsed="false">
      <c r="A21" s="6" t="s">
        <v>74</v>
      </c>
      <c r="B21" s="7" t="n">
        <f aca="false">COUNTIF(G5:G15,"Blocked")</f>
        <v>0</v>
      </c>
    </row>
    <row r="22" customFormat="false" ht="15" hidden="false" customHeight="false" outlineLevel="0" collapsed="false">
      <c r="A22" s="6" t="s">
        <v>23</v>
      </c>
      <c r="B22" s="7" t="n">
        <f aca="false">COUNTIF(G5:G15,"Not Executed")</f>
        <v>3</v>
      </c>
    </row>
    <row r="23" customFormat="false" ht="15" hidden="false" customHeight="false" outlineLevel="0" collapsed="false">
      <c r="A23" s="6" t="s">
        <v>75</v>
      </c>
      <c r="B23" s="7" t="n">
        <f aca="false">B19+B20</f>
        <v>8</v>
      </c>
    </row>
    <row r="24" customFormat="false" ht="15" hidden="false" customHeight="false" outlineLevel="0" collapsed="false">
      <c r="A24" s="6" t="s">
        <v>76</v>
      </c>
      <c r="B24" s="8" t="n">
        <f aca="false">IF(B23=0,0,B19/B23)</f>
        <v>1</v>
      </c>
    </row>
    <row r="25" customFormat="false" ht="15" hidden="false" customHeight="false" outlineLevel="0" collapsed="false">
      <c r="A25" s="6" t="s">
        <v>77</v>
      </c>
      <c r="B25" s="8" t="n">
        <f aca="false">IF(B18=0,0,B19/B18)</f>
        <v>0.727272727272727</v>
      </c>
    </row>
    <row r="27" customFormat="false" ht="15" hidden="false" customHeight="false" outlineLevel="0" collapsed="false">
      <c r="A27" s="5" t="s">
        <v>78</v>
      </c>
    </row>
    <row r="28" customFormat="false" ht="15" hidden="false" customHeight="false" outlineLevel="0" collapsed="false">
      <c r="A28" s="9" t="s">
        <v>3</v>
      </c>
      <c r="B28" s="9" t="s">
        <v>79</v>
      </c>
      <c r="C28" s="9" t="s">
        <v>16</v>
      </c>
      <c r="D28" s="9" t="s">
        <v>80</v>
      </c>
    </row>
    <row r="29" customFormat="false" ht="15" hidden="false" customHeight="false" outlineLevel="0" collapsed="false">
      <c r="A29" s="7" t="s">
        <v>11</v>
      </c>
      <c r="B29" s="7" t="n">
        <f aca="false">COUNTIF(B5:B15,A29)</f>
        <v>4</v>
      </c>
      <c r="C29" s="7" t="n">
        <f aca="false">COUNTIFS(B5:B15,A29,G5:G15,"Pass")</f>
        <v>1</v>
      </c>
      <c r="D29" s="7" t="n">
        <f aca="false">COUNTIFS(B5:B15,A29,G5:G15,"Fail")</f>
        <v>0</v>
      </c>
    </row>
    <row r="30" customFormat="false" ht="15" hidden="false" customHeight="false" outlineLevel="0" collapsed="false">
      <c r="A30" s="7" t="s">
        <v>33</v>
      </c>
      <c r="B30" s="7" t="n">
        <f aca="false">COUNTIF(B5:B15,A30)</f>
        <v>3</v>
      </c>
      <c r="C30" s="7" t="n">
        <f aca="false">COUNTIFS(B5:B15,A30,G5:G15,"Pass")</f>
        <v>3</v>
      </c>
      <c r="D30" s="7" t="n">
        <f aca="false">COUNTIFS(B5:B15,A30,G5:G15,"Fail")</f>
        <v>0</v>
      </c>
    </row>
    <row r="31" customFormat="false" ht="15" hidden="false" customHeight="false" outlineLevel="0" collapsed="false">
      <c r="A31" s="7" t="s">
        <v>45</v>
      </c>
      <c r="B31" s="7" t="n">
        <f aca="false">COUNTIF(B5:B15,A31)</f>
        <v>2</v>
      </c>
      <c r="C31" s="7" t="n">
        <f aca="false">COUNTIFS(B5:B15,A31,G5:G15,"Pass")</f>
        <v>2</v>
      </c>
      <c r="D31" s="7" t="n">
        <f aca="false">COUNTIFS(B5:B15,A31,G5:G15,"Fail")</f>
        <v>0</v>
      </c>
    </row>
    <row r="32" customFormat="false" ht="15" hidden="false" customHeight="false" outlineLevel="0" collapsed="false">
      <c r="A32" s="7" t="s">
        <v>58</v>
      </c>
      <c r="B32" s="7" t="n">
        <f aca="false">COUNTIF(B5:B15,A32)</f>
        <v>2</v>
      </c>
      <c r="C32" s="7" t="n">
        <f aca="false">COUNTIFS(B5:B15,A32,G5:G15,"Pass")</f>
        <v>2</v>
      </c>
      <c r="D32" s="7" t="n">
        <f aca="false">COUNTIFS(B5:B15,A32,G5:G15,"Fail")</f>
        <v>0</v>
      </c>
    </row>
    <row r="33" customFormat="false" ht="15" hidden="false" customHeight="false" outlineLevel="0" collapsed="false">
      <c r="A33" s="6" t="s">
        <v>79</v>
      </c>
      <c r="B33" s="6" t="n">
        <f aca="false">SUM(B29:B32)</f>
        <v>11</v>
      </c>
      <c r="C33" s="6" t="n">
        <f aca="false">SUM(C29:C32)</f>
        <v>8</v>
      </c>
      <c r="D33" s="6" t="n">
        <f aca="false">SUM(D29:D32)</f>
        <v>0</v>
      </c>
    </row>
  </sheetData>
  <conditionalFormatting sqref="G5:G15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"Blocked"</formula>
    </cfRule>
    <cfRule type="cellIs" priority="5" operator="equal" aboveAverage="0" equalAverage="0" bottom="0" percent="0" rank="0" text="" dxfId="3">
      <formula>"Not Executed"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2026-10-29T18:11:06Z</dcterms:created>
  <dc:creator>openpyxl</dc:creator>
  <dc:description/>
  <dc:language>en-US</dc:language>
  <cp:lastModifiedBy/>
  <dcterms:modified xsi:type="dcterms:W3CDTF">2026-10-29T18:11:06Z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