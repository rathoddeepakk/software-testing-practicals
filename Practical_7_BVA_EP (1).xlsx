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 &amp;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<sst xmlns="http://schemas.openxmlformats.org/spreadsheetml/2006/main" count="102" uniqueCount="60">
  <si>
    <t xml:space="preserve">TUTORIAL 7 – OpenCart – Registration / Login Username Validation</t>
  </si>
  <si>
    <t xml:space="preserve">Executed on https://demo.opencart.com/en-gb?route=account/register | Test date 15/08/2026 | Windows / Google Chrome | Evidence = screenshot file numbers from the supplied zip</t>
  </si>
  <si>
    <t xml:space="preserve">TC ID</t>
  </si>
  <si>
    <t xml:space="preserve">Scenario</t>
  </si>
  <si>
    <t xml:space="preserve">Test Input</t>
  </si>
  <si>
    <t xml:space="preserve">Expected Result</t>
  </si>
  <si>
    <t xml:space="preserve">Actual Result</t>
  </si>
  <si>
    <t xml:space="preserve">Status</t>
  </si>
  <si>
    <t xml:space="preserve">Evidence (Screenshot No.)</t>
  </si>
  <si>
    <t xml:space="preserve">EP-01</t>
  </si>
  <si>
    <t xml:space="preserve">EP – Invalid partition (&lt; 5)</t>
  </si>
  <si>
    <t xml:space="preserve">abc (3 chars)</t>
  </si>
  <si>
    <t xml:space="preserve">Username rejected</t>
  </si>
  <si>
    <t xml:space="preserve">Register page has no Username field (First Name, Last Name, E-Mail, Password only) – length rule cannot be applied</t>
  </si>
  <si>
    <t xml:space="preserve">Blocked</t>
  </si>
  <si>
    <t xml:space="preserve">139, 141</t>
  </si>
  <si>
    <t xml:space="preserve">EP-02</t>
  </si>
  <si>
    <t xml:space="preserve">EP – Valid partition (5-15)</t>
  </si>
  <si>
    <t xml:space="preserve">student1 (8 chars)</t>
  </si>
  <si>
    <t xml:space="preserve">Username accepted</t>
  </si>
  <si>
    <t xml:space="preserve">EP-03</t>
  </si>
  <si>
    <t xml:space="preserve">EP – Invalid partition (&gt; 15)</t>
  </si>
  <si>
    <t xml:space="preserve">studentmanagement1 (18 chars)</t>
  </si>
  <si>
    <t xml:space="preserve">BV-01</t>
  </si>
  <si>
    <t xml:space="preserve">BVA – Minimum - 1</t>
  </si>
  <si>
    <t xml:space="preserve">abcd (4 chars)</t>
  </si>
  <si>
    <t xml:space="preserve">BV-02</t>
  </si>
  <si>
    <t xml:space="preserve">BVA – Minimum</t>
  </si>
  <si>
    <t xml:space="preserve">abcde (5 chars)</t>
  </si>
  <si>
    <t xml:space="preserve">BV-03</t>
  </si>
  <si>
    <t xml:space="preserve">BVA – Minimum + 1</t>
  </si>
  <si>
    <t xml:space="preserve">abcdef (6 chars)</t>
  </si>
  <si>
    <t xml:space="preserve">BV-04</t>
  </si>
  <si>
    <t xml:space="preserve">BVA – Nominal</t>
  </si>
  <si>
    <t xml:space="preserve">abcdefghij (10 chars)</t>
  </si>
  <si>
    <t xml:space="preserve">BV-05</t>
  </si>
  <si>
    <t xml:space="preserve">BVA – Maximum - 1</t>
  </si>
  <si>
    <t xml:space="preserve">abcdefghijklmn (14 chars)</t>
  </si>
  <si>
    <t xml:space="preserve">BV-06</t>
  </si>
  <si>
    <t xml:space="preserve">BVA – Maximum</t>
  </si>
  <si>
    <t xml:space="preserve">abcdefghijklmno (15 chars)</t>
  </si>
  <si>
    <t xml:space="preserve">BV-07</t>
  </si>
  <si>
    <t xml:space="preserve">BVA – Maximum + 1</t>
  </si>
  <si>
    <t xml:space="preserve">abcdefghijklmnop (16 chars)</t>
  </si>
  <si>
    <t xml:space="preserve">BL-01</t>
  </si>
  <si>
    <t xml:space="preserve">Blank Username</t>
  </si>
  <si>
    <t xml:space="preserve">(leave empty)</t>
  </si>
  <si>
    <t xml:space="preserve">Required-field / error message shown</t>
  </si>
  <si>
    <t xml:space="preserve">No execution evidence supplied</t>
  </si>
  <si>
    <t xml:space="preserve">Not Executed</t>
  </si>
  <si>
    <t xml:space="preserve">—</t>
  </si>
  <si>
    <t xml:space="preserve">BL-02</t>
  </si>
  <si>
    <t xml:space="preserve">Blank Password</t>
  </si>
  <si>
    <t xml:space="preserve">SUMMARY</t>
  </si>
  <si>
    <t xml:space="preserve">Total test cases</t>
  </si>
  <si>
    <t xml:space="preserve">Passed</t>
  </si>
  <si>
    <t xml:space="preserve">Failed</t>
  </si>
  <si>
    <t xml:space="preserve">Executed (Pass + Fail)</t>
  </si>
  <si>
    <t xml:space="preserve">Pass % of executed</t>
  </si>
  <si>
    <t xml:space="preserve">Pass % of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</si>
</sst>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5.0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35.0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13</v>
      </c>
      <c r="F6" s="4" t="s">
        <v>14</v>
      </c>
      <c r="G6" s="4" t="s">
        <v>15</v>
      </c>
    </row>
    <row r="7" customFormat="false" ht="35.0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12</v>
      </c>
      <c r="E7" s="4" t="s">
        <v>13</v>
      </c>
      <c r="F7" s="4" t="s">
        <v>14</v>
      </c>
      <c r="G7" s="4" t="s">
        <v>15</v>
      </c>
    </row>
    <row r="8" customFormat="false" ht="35.05" hidden="false" customHeight="false" outlineLevel="0" collapsed="false">
      <c r="A8" s="4" t="s">
        <v>23</v>
      </c>
      <c r="B8" s="4" t="s">
        <v>24</v>
      </c>
      <c r="C8" s="4" t="s">
        <v>25</v>
      </c>
      <c r="D8" s="4" t="s">
        <v>12</v>
      </c>
      <c r="E8" s="4" t="s">
        <v>13</v>
      </c>
      <c r="F8" s="4" t="s">
        <v>14</v>
      </c>
      <c r="G8" s="4" t="s">
        <v>15</v>
      </c>
    </row>
    <row r="9" customFormat="false" ht="35.05" hidden="false" customHeight="false" outlineLevel="0" collapsed="false">
      <c r="A9" s="4" t="s">
        <v>26</v>
      </c>
      <c r="B9" s="4" t="s">
        <v>27</v>
      </c>
      <c r="C9" s="4" t="s">
        <v>28</v>
      </c>
      <c r="D9" s="4" t="s">
        <v>19</v>
      </c>
      <c r="E9" s="4" t="s">
        <v>13</v>
      </c>
      <c r="F9" s="4" t="s">
        <v>14</v>
      </c>
      <c r="G9" s="4" t="s">
        <v>15</v>
      </c>
    </row>
    <row r="10" customFormat="false" ht="35.05" hidden="false" customHeight="false" outlineLevel="0" collapsed="false">
      <c r="A10" s="4" t="s">
        <v>29</v>
      </c>
      <c r="B10" s="4" t="s">
        <v>30</v>
      </c>
      <c r="C10" s="4" t="s">
        <v>31</v>
      </c>
      <c r="D10" s="4" t="s">
        <v>19</v>
      </c>
      <c r="E10" s="4" t="s">
        <v>13</v>
      </c>
      <c r="F10" s="4" t="s">
        <v>14</v>
      </c>
      <c r="G10" s="4" t="s">
        <v>15</v>
      </c>
    </row>
    <row r="11" customFormat="false" ht="35.05" hidden="false" customHeight="false" outlineLevel="0" collapsed="false">
      <c r="A11" s="4" t="s">
        <v>32</v>
      </c>
      <c r="B11" s="4" t="s">
        <v>33</v>
      </c>
      <c r="C11" s="4" t="s">
        <v>34</v>
      </c>
      <c r="D11" s="4" t="s">
        <v>19</v>
      </c>
      <c r="E11" s="4" t="s">
        <v>13</v>
      </c>
      <c r="F11" s="4" t="s">
        <v>14</v>
      </c>
      <c r="G11" s="4" t="s">
        <v>15</v>
      </c>
    </row>
    <row r="12" customFormat="false" ht="35.05" hidden="false" customHeight="false" outlineLevel="0" collapsed="false">
      <c r="A12" s="4" t="s">
        <v>35</v>
      </c>
      <c r="B12" s="4" t="s">
        <v>36</v>
      </c>
      <c r="C12" s="4" t="s">
        <v>37</v>
      </c>
      <c r="D12" s="4" t="s">
        <v>19</v>
      </c>
      <c r="E12" s="4" t="s">
        <v>13</v>
      </c>
      <c r="F12" s="4" t="s">
        <v>14</v>
      </c>
      <c r="G12" s="4" t="s">
        <v>15</v>
      </c>
    </row>
    <row r="13" customFormat="false" ht="35.05" hidden="false" customHeight="false" outlineLevel="0" collapsed="false">
      <c r="A13" s="4" t="s">
        <v>38</v>
      </c>
      <c r="B13" s="4" t="s">
        <v>39</v>
      </c>
      <c r="C13" s="4" t="s">
        <v>40</v>
      </c>
      <c r="D13" s="4" t="s">
        <v>19</v>
      </c>
      <c r="E13" s="4" t="s">
        <v>13</v>
      </c>
      <c r="F13" s="4" t="s">
        <v>14</v>
      </c>
      <c r="G13" s="4" t="s">
        <v>15</v>
      </c>
    </row>
    <row r="14" customFormat="false" ht="35.05" hidden="false" customHeight="false" outlineLevel="0" collapsed="false">
      <c r="A14" s="4" t="s">
        <v>41</v>
      </c>
      <c r="B14" s="4" t="s">
        <v>42</v>
      </c>
      <c r="C14" s="4" t="s">
        <v>43</v>
      </c>
      <c r="D14" s="4" t="s">
        <v>12</v>
      </c>
      <c r="E14" s="4" t="s">
        <v>13</v>
      </c>
      <c r="F14" s="4" t="s">
        <v>14</v>
      </c>
      <c r="G14" s="4" t="s">
        <v>15</v>
      </c>
    </row>
    <row r="15" customFormat="false" ht="15" hidden="false" customHeight="false" outlineLevel="0" collapsed="false">
      <c r="A15" s="4" t="s">
        <v>44</v>
      </c>
      <c r="B15" s="4" t="s">
        <v>45</v>
      </c>
      <c r="C15" s="4" t="s">
        <v>46</v>
      </c>
      <c r="D15" s="4" t="s">
        <v>47</v>
      </c>
      <c r="E15" s="4" t="s">
        <v>48</v>
      </c>
      <c r="F15" s="4" t="s">
        <v>49</v>
      </c>
      <c r="G15" s="4" t="s">
        <v>50</v>
      </c>
    </row>
    <row r="16" customFormat="false" ht="15" hidden="false" customHeight="false" outlineLevel="0" collapsed="false">
      <c r="A16" s="4" t="s">
        <v>51</v>
      </c>
      <c r="B16" s="4" t="s">
        <v>52</v>
      </c>
      <c r="C16" s="4" t="s">
        <v>46</v>
      </c>
      <c r="D16" s="4" t="s">
        <v>47</v>
      </c>
      <c r="E16" s="4" t="s">
        <v>48</v>
      </c>
      <c r="F16" s="4" t="s">
        <v>49</v>
      </c>
      <c r="G16" s="4" t="s">
        <v>50</v>
      </c>
    </row>
    <row r="18" customFormat="false" ht="15" hidden="false" customHeight="false" outlineLevel="0" collapsed="false">
      <c r="A18" s="5" t="s">
        <v>53</v>
      </c>
    </row>
    <row r="19" customFormat="false" ht="15" hidden="false" customHeight="false" outlineLevel="0" collapsed="false">
      <c r="A19" s="6" t="s">
        <v>54</v>
      </c>
      <c r="B19" s="7" t="n">
        <f aca="false">COUNTA(A5:A16)</f>
        <v>12</v>
      </c>
    </row>
    <row r="20" customFormat="false" ht="15" hidden="false" customHeight="false" outlineLevel="0" collapsed="false">
      <c r="A20" s="6" t="s">
        <v>55</v>
      </c>
      <c r="B20" s="7" t="n">
        <f aca="false">COUNTIF(F5:F16,"Pass")</f>
        <v>0</v>
      </c>
    </row>
    <row r="21" customFormat="false" ht="15" hidden="false" customHeight="false" outlineLevel="0" collapsed="false">
      <c r="A21" s="6" t="s">
        <v>56</v>
      </c>
      <c r="B21" s="7" t="n">
        <f aca="false">COUNTIF(F5:F16,"Fail")</f>
        <v>0</v>
      </c>
    </row>
    <row r="22" customFormat="false" ht="15" hidden="false" customHeight="false" outlineLevel="0" collapsed="false">
      <c r="A22" s="6" t="s">
        <v>14</v>
      </c>
      <c r="B22" s="7" t="n">
        <f aca="false">COUNTIF(F5:F16,"Blocked")</f>
        <v>10</v>
      </c>
    </row>
    <row r="23" customFormat="false" ht="15" hidden="false" customHeight="false" outlineLevel="0" collapsed="false">
      <c r="A23" s="6" t="s">
        <v>49</v>
      </c>
      <c r="B23" s="7" t="n">
        <f aca="false">COUNTIF(F5:F16,"Not Executed")</f>
        <v>2</v>
      </c>
    </row>
    <row r="24" customFormat="false" ht="15" hidden="false" customHeight="false" outlineLevel="0" collapsed="false">
      <c r="A24" s="6" t="s">
        <v>57</v>
      </c>
      <c r="B24" s="7" t="n">
        <f aca="false">B20+B21</f>
        <v>0</v>
      </c>
    </row>
    <row r="25" customFormat="false" ht="15" hidden="false" customHeight="false" outlineLevel="0" collapsed="false">
      <c r="A25" s="6" t="s">
        <v>58</v>
      </c>
      <c r="B25" s="8" t="n">
        <f aca="false">IF(B24=0,0,B20/B24)</f>
        <v>0</v>
      </c>
    </row>
    <row r="26" customFormat="false" ht="15" hidden="false" customHeight="false" outlineLevel="0" collapsed="false">
      <c r="A26" s="6" t="s">
        <v>59</v>
      </c>
      <c r="B26" s="8" t="n">
        <f aca="false">IF(B19=0,0,B20/B19)</f>
        <v>0</v>
      </c>
    </row>
  </sheetData>
  <conditionalFormatting sqref="F5:F1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2026-10-29T18:11:06Z</dcterms:created>
  <dc:creator>openpyxl</dc:creator>
  <dc:description/>
  <dc:language>en-US</dc:language>
  <cp:lastModifiedBy/>
  <dcterms:modified xsi:type="dcterms:W3CDTF">2026-10-29T18:11:06Z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