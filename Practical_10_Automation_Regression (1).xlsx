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 &amp;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<sst xmlns="http://schemas.openxmlformats.org/spreadsheetml/2006/main" count="99" uniqueCount="84">
  <si>
    <t xml:space="preserve">TUTORIAL 10 – OpenCart Website – Automation Feasibility &amp; Regression</t>
  </si>
  <si>
    <t xml:space="preserve">Executed on https://demo.opencart.com | Test date 15/08/2026 | Windows / Google Chrome | Evidence = screenshot file numbers from the supplied zip</t>
  </si>
  <si>
    <t xml:space="preserve">TC ID</t>
  </si>
  <si>
    <t xml:space="preserve">Scenario</t>
  </si>
  <si>
    <t xml:space="preserve">Test Input</t>
  </si>
  <si>
    <t xml:space="preserve">Expected Result</t>
  </si>
  <si>
    <t xml:space="preserve">Actual Result</t>
  </si>
  <si>
    <t xml:space="preserve">Status</t>
  </si>
  <si>
    <t xml:space="preserve">Evidence (Screenshot No.)</t>
  </si>
  <si>
    <t xml:space="preserve">RT001</t>
  </si>
  <si>
    <t xml:space="preserve">Login – Valid Login</t>
  </si>
  <si>
    <t xml:space="preserve">Username demo + correct password</t>
  </si>
  <si>
    <t xml:space="preserve">Login successful; Dashboard opens</t>
  </si>
  <si>
    <t xml:space="preserve">Login successful; Dashboard opened</t>
  </si>
  <si>
    <t xml:space="preserve">Pass</t>
  </si>
  <si>
    <t xml:space="preserve">131, 132</t>
  </si>
  <si>
    <t xml:space="preserve">RT002</t>
  </si>
  <si>
    <t xml:space="preserve">Registration – Register page validation</t>
  </si>
  <si>
    <t xml:space="preserve">Submit Register form with invalid / empty input</t>
  </si>
  <si>
    <t xml:space="preserve">Required-field / invalid-input messages shown</t>
  </si>
  <si>
    <t xml:space="preserve">Register form displayed; validation not captured</t>
  </si>
  <si>
    <t xml:space="preserve">Not Executed</t>
  </si>
  <si>
    <t xml:space="preserve">—</t>
  </si>
  <si>
    <t xml:space="preserve">RT003</t>
  </si>
  <si>
    <t xml:space="preserve">Search – Search existing product</t>
  </si>
  <si>
    <t xml:space="preserve">Search "Macbook"</t>
  </si>
  <si>
    <t xml:space="preserve">Matching results displayed</t>
  </si>
  <si>
    <t xml:space="preserve">3 matching products listed (MacBook, MacBook Air, MacBook Pro)</t>
  </si>
  <si>
    <t xml:space="preserve">135, 136, 142</t>
  </si>
  <si>
    <t xml:space="preserve">RT004</t>
  </si>
  <si>
    <t xml:space="preserve">Navigation – Open site pages</t>
  </si>
  <si>
    <t xml:space="preserve">My Account -&gt; Login, Register; footer -&gt; Contact Us</t>
  </si>
  <si>
    <t xml:space="preserve">Every page loads correctly</t>
  </si>
  <si>
    <t xml:space="preserve">Login, Register and Contact Us pages loaded correctly</t>
  </si>
  <si>
    <t xml:space="preserve">139, 140, 141, 148</t>
  </si>
  <si>
    <t xml:space="preserve">RT005</t>
  </si>
  <si>
    <t xml:space="preserve">Logout – Logout</t>
  </si>
  <si>
    <t xml:space="preserve">Profile menu -&gt; Logout</t>
  </si>
  <si>
    <t xml:space="preserve">Return to Login page</t>
  </si>
  <si>
    <t xml:space="preserve">Administration Login page displayed</t>
  </si>
  <si>
    <t xml:space="preserve">149, 151</t>
  </si>
  <si>
    <t xml:space="preserve">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</si>
  <si>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</si>
  <si>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</si>
  <si>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</si>
  <si>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</si>
  <si>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Executed (Pass + Fail)</t>
  </si>
  <si>
    <t xml:space="preserve">Pass % of executed</t>
  </si>
  <si>
    <t xml:space="preserve">Pass % of total</t>
  </si>
  <si>
    <t xml:space="preserve">AUTOMATION CANDIDATES</t>
  </si>
  <si>
    <t xml:space="preserve">Functionality</t>
  </si>
  <si>
    <t xml:space="preserve">Automate? (Yes/No)</t>
  </si>
  <si>
    <t xml:space="preserve">Reason</t>
  </si>
  <si>
    <t xml:space="preserve">Tool</t>
  </si>
  <si>
    <t xml:space="preserve">TC001</t>
  </si>
  <si>
    <t xml:space="preserve">Login</t>
  </si>
  <si>
    <t xml:space="preserve">Yes</t>
  </si>
  <si>
    <t xml:space="preserve">Frequently executed</t>
  </si>
  <si>
    <t xml:space="preserve">Selenium</t>
  </si>
  <si>
    <t xml:space="preserve">TC002</t>
  </si>
  <si>
    <t xml:space="preserve">Registration</t>
  </si>
  <si>
    <t xml:space="preserve">Stable, repetitive validation</t>
  </si>
  <si>
    <t xml:space="preserve">TC003</t>
  </si>
  <si>
    <t xml:space="preserve">Search</t>
  </si>
  <si>
    <t xml:space="preserve">Repetitive operation</t>
  </si>
  <si>
    <t xml:space="preserve">TC004</t>
  </si>
  <si>
    <t xml:space="preserve">Navigation Menu Links</t>
  </si>
  <si>
    <t xml:space="preserve">Simple repetitive check</t>
  </si>
  <si>
    <t xml:space="preserve">TC005</t>
  </si>
  <si>
    <t xml:space="preserve">Logout</t>
  </si>
  <si>
    <t xml:space="preserve">Simple repetitive task</t>
  </si>
  <si>
    <t xml:space="preserve">TC006</t>
  </si>
  <si>
    <t xml:space="preserve">Marketplace Listings Content</t>
  </si>
  <si>
    <t xml:space="preserve">No</t>
  </si>
  <si>
    <t xml:space="preserve">Content changes frequently</t>
  </si>
  <si>
    <t xml:space="preserve">Manual Testing</t>
  </si>
  <si>
    <t xml:space="preserve">TC007</t>
  </si>
  <si>
    <t xml:space="preserve">Download Page Details</t>
  </si>
  <si>
    <t xml:space="preserve">Version info changes each release</t>
  </si>
  <si>
    <t xml:space="preserve">Automation candidates (Yes)</t>
  </si>
  <si>
    <t xml:space="preserve">Kept manual (No)</t>
  </si>
  <si>
    <t xml:space="preserve">Automation candidates %</t>
  </si>
  <si>
    <t xml:space="preserve">Recommended tool</t>
  </si>
  <si>
    <t xml:space="preserve">Selenium (alt: Playwright, Cypress)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</si>
</sst>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23.8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customFormat="false" ht="23.85" hidden="false" customHeight="fals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14</v>
      </c>
      <c r="G7" s="4" t="s">
        <v>28</v>
      </c>
    </row>
    <row r="8" customFormat="false" ht="23.85" hidden="false" customHeight="false" outlineLevel="0" collapsed="false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14</v>
      </c>
      <c r="G8" s="4" t="s">
        <v>34</v>
      </c>
    </row>
    <row r="9" customFormat="false" ht="15" hidden="false" customHeight="false" outlineLevel="0" collapsed="false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14</v>
      </c>
      <c r="G9" s="4" t="s">
        <v>40</v>
      </c>
    </row>
    <row r="11" customFormat="false" ht="15" hidden="false" customHeight="false" outlineLevel="0" collapsed="false">
      <c r="A11" s="5" t="s">
        <v>41</v>
      </c>
    </row>
    <row r="12" customFormat="false" ht="15" hidden="false" customHeight="false" outlineLevel="0" collapsed="false">
      <c r="A12" s="6" t="s">
        <v>42</v>
      </c>
      <c r="B12" s="7" t="n">
        <f aca="false">COUNTA(A5:A9)</f>
        <v>5</v>
      </c>
    </row>
    <row r="13" customFormat="false" ht="15" hidden="false" customHeight="false" outlineLevel="0" collapsed="false">
      <c r="A13" s="6" t="s">
        <v>43</v>
      </c>
      <c r="B13" s="7" t="n">
        <f aca="false">COUNTIF(F5:F9,"Pass")</f>
        <v>4</v>
      </c>
    </row>
    <row r="14" customFormat="false" ht="15" hidden="false" customHeight="false" outlineLevel="0" collapsed="false">
      <c r="A14" s="6" t="s">
        <v>44</v>
      </c>
      <c r="B14" s="7" t="n">
        <f aca="false">COUNTIF(F5:F9,"Fail")</f>
        <v>0</v>
      </c>
    </row>
    <row r="15" customFormat="false" ht="15" hidden="false" customHeight="false" outlineLevel="0" collapsed="false">
      <c r="A15" s="6" t="s">
        <v>45</v>
      </c>
      <c r="B15" s="7" t="n">
        <f aca="false">COUNTIF(F5:F9,"Blocked")</f>
        <v>0</v>
      </c>
    </row>
    <row r="16" customFormat="false" ht="15" hidden="false" customHeight="false" outlineLevel="0" collapsed="false">
      <c r="A16" s="6" t="s">
        <v>21</v>
      </c>
      <c r="B16" s="7" t="n">
        <f aca="false">COUNTIF(F5:F9,"Not Executed")</f>
        <v>1</v>
      </c>
    </row>
    <row r="17" customFormat="false" ht="15" hidden="false" customHeight="false" outlineLevel="0" collapsed="false">
      <c r="A17" s="6" t="s">
        <v>46</v>
      </c>
      <c r="B17" s="7" t="n">
        <f aca="false">B13+B14</f>
        <v>4</v>
      </c>
    </row>
    <row r="18" customFormat="false" ht="15" hidden="false" customHeight="false" outlineLevel="0" collapsed="false">
      <c r="A18" s="6" t="s">
        <v>47</v>
      </c>
      <c r="B18" s="8" t="n">
        <f aca="false">IF(B17=0,0,B13/B17)</f>
        <v>1</v>
      </c>
    </row>
    <row r="19" customFormat="false" ht="15" hidden="false" customHeight="false" outlineLevel="0" collapsed="false">
      <c r="A19" s="6" t="s">
        <v>48</v>
      </c>
      <c r="B19" s="8" t="n">
        <f aca="false">IF(B12=0,0,B13/B12)</f>
        <v>0.8</v>
      </c>
    </row>
    <row r="21" customFormat="false" ht="15" hidden="false" customHeight="false" outlineLevel="0" collapsed="false">
      <c r="A21" s="5" t="s">
        <v>49</v>
      </c>
    </row>
    <row r="22" customFormat="false" ht="15" hidden="false" customHeight="false" outlineLevel="0" collapsed="false">
      <c r="A22" s="9" t="s">
        <v>2</v>
      </c>
      <c r="B22" s="9" t="s">
        <v>50</v>
      </c>
      <c r="C22" s="9" t="s">
        <v>51</v>
      </c>
      <c r="D22" s="9" t="s">
        <v>52</v>
      </c>
      <c r="E22" s="9" t="s">
        <v>53</v>
      </c>
    </row>
    <row r="23" customFormat="false" ht="15" hidden="false" customHeight="false" outlineLevel="0" collapsed="false">
      <c r="A23" s="4" t="s">
        <v>54</v>
      </c>
      <c r="B23" s="4" t="s">
        <v>55</v>
      </c>
      <c r="C23" s="4" t="s">
        <v>56</v>
      </c>
      <c r="D23" s="4" t="s">
        <v>57</v>
      </c>
      <c r="E23" s="4" t="s">
        <v>58</v>
      </c>
    </row>
    <row r="24" customFormat="false" ht="15" hidden="false" customHeight="false" outlineLevel="0" collapsed="false">
      <c r="A24" s="4" t="s">
        <v>59</v>
      </c>
      <c r="B24" s="4" t="s">
        <v>60</v>
      </c>
      <c r="C24" s="4" t="s">
        <v>56</v>
      </c>
      <c r="D24" s="4" t="s">
        <v>61</v>
      </c>
      <c r="E24" s="4" t="s">
        <v>58</v>
      </c>
    </row>
    <row r="25" customFormat="false" ht="15" hidden="false" customHeight="false" outlineLevel="0" collapsed="false">
      <c r="A25" s="4" t="s">
        <v>62</v>
      </c>
      <c r="B25" s="4" t="s">
        <v>63</v>
      </c>
      <c r="C25" s="4" t="s">
        <v>56</v>
      </c>
      <c r="D25" s="4" t="s">
        <v>64</v>
      </c>
      <c r="E25" s="4" t="s">
        <v>58</v>
      </c>
    </row>
    <row r="26" customFormat="false" ht="15" hidden="false" customHeight="false" outlineLevel="0" collapsed="false">
      <c r="A26" s="4" t="s">
        <v>65</v>
      </c>
      <c r="B26" s="4" t="s">
        <v>66</v>
      </c>
      <c r="C26" s="4" t="s">
        <v>56</v>
      </c>
      <c r="D26" s="4" t="s">
        <v>67</v>
      </c>
      <c r="E26" s="4" t="s">
        <v>58</v>
      </c>
    </row>
    <row r="27" customFormat="false" ht="15" hidden="false" customHeight="false" outlineLevel="0" collapsed="false">
      <c r="A27" s="4" t="s">
        <v>68</v>
      </c>
      <c r="B27" s="4" t="s">
        <v>69</v>
      </c>
      <c r="C27" s="4" t="s">
        <v>56</v>
      </c>
      <c r="D27" s="4" t="s">
        <v>70</v>
      </c>
      <c r="E27" s="4" t="s">
        <v>58</v>
      </c>
    </row>
    <row r="28" customFormat="false" ht="15" hidden="false" customHeight="false" outlineLevel="0" collapsed="false">
      <c r="A28" s="4" t="s">
        <v>71</v>
      </c>
      <c r="B28" s="4" t="s">
        <v>72</v>
      </c>
      <c r="C28" s="4" t="s">
        <v>73</v>
      </c>
      <c r="D28" s="4" t="s">
        <v>74</v>
      </c>
      <c r="E28" s="4" t="s">
        <v>75</v>
      </c>
    </row>
    <row r="29" customFormat="false" ht="15" hidden="false" customHeight="false" outlineLevel="0" collapsed="false">
      <c r="A29" s="4" t="s">
        <v>76</v>
      </c>
      <c r="B29" s="4" t="s">
        <v>77</v>
      </c>
      <c r="C29" s="4" t="s">
        <v>73</v>
      </c>
      <c r="D29" s="4" t="s">
        <v>78</v>
      </c>
      <c r="E29" s="4" t="s">
        <v>75</v>
      </c>
    </row>
    <row r="31" customFormat="false" ht="15" hidden="false" customHeight="false" outlineLevel="0" collapsed="false">
      <c r="A31" s="6" t="s">
        <v>79</v>
      </c>
      <c r="B31" s="7" t="n">
        <f aca="false">COUNTIF(C23:C29,"Yes")</f>
        <v>5</v>
      </c>
    </row>
    <row r="32" customFormat="false" ht="15" hidden="false" customHeight="false" outlineLevel="0" collapsed="false">
      <c r="A32" s="6" t="s">
        <v>80</v>
      </c>
      <c r="B32" s="7" t="n">
        <f aca="false">COUNTIF(C23:C29,"No")</f>
        <v>2</v>
      </c>
    </row>
    <row r="33" customFormat="false" ht="15" hidden="false" customHeight="false" outlineLevel="0" collapsed="false">
      <c r="A33" s="6" t="s">
        <v>81</v>
      </c>
      <c r="B33" s="8" t="n">
        <f aca="false">COUNTIF(C23:C29,"Yes")/COUNTA(A23:A29)</f>
        <v>0.714285714285714</v>
      </c>
    </row>
    <row r="34" customFormat="false" ht="15" hidden="false" customHeight="false" outlineLevel="0" collapsed="false">
      <c r="A34" s="6" t="s">
        <v>82</v>
      </c>
      <c r="B34" s="7" t="s">
        <v>83</v>
      </c>
    </row>
  </sheetData>
  <conditionalFormatting sqref="F5:F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2026-10-29T18:11:06Z</dcterms:created>
  <dc:creator>openpyxl</dc:creator>
  <dc:description/>
  <dc:language>en-US</dc:language>
  <cp:lastModifiedBy/>
  <dcterms:modified xsi:type="dcterms:W3CDTF">2026-10-29T18:11:06Z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